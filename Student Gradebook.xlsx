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le\Projects\"/>
    </mc:Choice>
  </mc:AlternateContent>
  <bookViews>
    <workbookView xWindow="0" yWindow="0" windowWidth="20490" windowHeight="7530" activeTab="2"/>
  </bookViews>
  <sheets>
    <sheet name="Project Overview" sheetId="3" r:id="rId1"/>
    <sheet name="Dashboard" sheetId="2" r:id="rId2"/>
    <sheet name="Grade Data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I13" i="1"/>
  <c r="I14" i="1"/>
  <c r="I15" i="1"/>
  <c r="I16" i="1"/>
  <c r="I12" i="1"/>
  <c r="B15" i="2"/>
  <c r="B14" i="2"/>
  <c r="B13" i="2"/>
  <c r="B12" i="2"/>
  <c r="A15" i="2"/>
  <c r="A14" i="2"/>
  <c r="A13" i="2"/>
  <c r="A12" i="2"/>
  <c r="A11" i="2"/>
  <c r="C15" i="2" l="1"/>
  <c r="C14" i="2"/>
  <c r="C13" i="2"/>
  <c r="C12" i="2"/>
  <c r="C11" i="2"/>
  <c r="F3" i="1"/>
  <c r="F4" i="1"/>
  <c r="F5" i="1"/>
  <c r="F6" i="1"/>
  <c r="F7" i="1"/>
  <c r="D11" i="2" s="1"/>
  <c r="F8" i="1"/>
  <c r="F9" i="1"/>
  <c r="F10" i="1"/>
  <c r="F11" i="1"/>
  <c r="F12" i="1"/>
  <c r="D14" i="2" s="1"/>
  <c r="F13" i="1"/>
  <c r="F14" i="1"/>
  <c r="D12" i="2" s="1"/>
  <c r="F15" i="1"/>
  <c r="D13" i="2" s="1"/>
  <c r="F16" i="1"/>
  <c r="F17" i="1"/>
  <c r="F18" i="1"/>
  <c r="F19" i="1"/>
  <c r="F20" i="1"/>
  <c r="F21" i="1"/>
  <c r="F22" i="1"/>
  <c r="F23" i="1"/>
  <c r="F24" i="1"/>
  <c r="F25" i="1"/>
  <c r="F26" i="1"/>
  <c r="F27" i="1"/>
  <c r="D15" i="2" s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K8" i="1"/>
  <c r="G5" i="2" s="1"/>
  <c r="J8" i="1" l="1"/>
  <c r="E5" i="2" s="1"/>
  <c r="I8" i="1"/>
  <c r="C5" i="2" s="1"/>
  <c r="H8" i="1"/>
  <c r="A5" i="2" s="1"/>
</calcChain>
</file>

<file path=xl/sharedStrings.xml><?xml version="1.0" encoding="utf-8"?>
<sst xmlns="http://schemas.openxmlformats.org/spreadsheetml/2006/main" count="208" uniqueCount="149">
  <si>
    <t>Full Name</t>
  </si>
  <si>
    <t>Subject</t>
  </si>
  <si>
    <t>Marks</t>
  </si>
  <si>
    <t>Full Marks</t>
  </si>
  <si>
    <t>S01</t>
  </si>
  <si>
    <t>Math</t>
  </si>
  <si>
    <t>S02</t>
  </si>
  <si>
    <t>Science</t>
  </si>
  <si>
    <t>S03</t>
  </si>
  <si>
    <t>English</t>
  </si>
  <si>
    <t>S04</t>
  </si>
  <si>
    <t>Social</t>
  </si>
  <si>
    <t>S05</t>
  </si>
  <si>
    <t>Nepali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</si>
  <si>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</si>
  <si>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</si>
  <si>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</si>
  <si>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</si>
  <si>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</si>
  <si>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</si>
  <si>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</si>
  <si>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</si>
  <si>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</si>
  <si>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</si>
  <si>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</si>
  <si>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</si>
  <si>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</si>
  <si>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</si>
  <si>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</si>
  <si>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</si>
  <si>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</si>
  <si>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</si>
  <si>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</si>
  <si>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</si>
  <si>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</si>
  <si>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</si>
  <si>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</si>
  <si>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</si>
  <si>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</si>
  <si>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</si>
  <si>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</si>
  <si>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</si>
  <si>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</si>
  <si>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</si>
  <si>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</si>
  <si>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</si>
  <si>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</si>
  <si>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</si>
  <si>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</si>
  <si>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</si>
  <si>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</si>
  <si>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</si>
  <si>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</si>
  <si>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</si>
  <si>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</si>
  <si>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</si>
  <si>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</si>
  <si>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</si>
  <si>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</si>
  <si>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Random Names</t>
  </si>
  <si>
    <t>Hamza Horton</t>
  </si>
  <si>
    <t>Zayn Garner</t>
  </si>
  <si>
    <t>Luke Gibbs</t>
  </si>
  <si>
    <t>Barbara Robertson</t>
  </si>
  <si>
    <t>Penny Lucas</t>
  </si>
  <si>
    <t>Olivier Mcbride</t>
  </si>
  <si>
    <t>Nikita Davila</t>
  </si>
  <si>
    <t>Chad Baxter</t>
  </si>
  <si>
    <t>Dawud Watts</t>
  </si>
  <si>
    <t>Isla Lamb</t>
  </si>
  <si>
    <t>Shelby Greene</t>
  </si>
  <si>
    <t>Alicia Kennedy</t>
  </si>
  <si>
    <t>Zaina Gates</t>
  </si>
  <si>
    <t>Philip Bernard</t>
  </si>
  <si>
    <t>Miah Duke</t>
  </si>
  <si>
    <t>Cindy Velez</t>
  </si>
  <si>
    <t>Hugo Lindsey</t>
  </si>
  <si>
    <t>Raheem Clay</t>
  </si>
  <si>
    <t>Aled Peterson</t>
  </si>
  <si>
    <t>Astrid Vega</t>
  </si>
  <si>
    <t>Safwan Daniels</t>
  </si>
  <si>
    <t>Ishaan Olson</t>
  </si>
  <si>
    <t>Alexa Montes</t>
  </si>
  <si>
    <t>Jose Carney</t>
  </si>
  <si>
    <t>Kristina Rogers</t>
  </si>
  <si>
    <t>Murray Henderson</t>
  </si>
  <si>
    <t>Jackson Bennett</t>
  </si>
  <si>
    <t>Georgiana Bonner</t>
  </si>
  <si>
    <t>Lukas Donnelly</t>
  </si>
  <si>
    <t>Diane Love</t>
  </si>
  <si>
    <t>Oscar Escobar</t>
  </si>
  <si>
    <t>Raphael Beltran</t>
  </si>
  <si>
    <t>Humaira Salas</t>
  </si>
  <si>
    <t>Colby Shaw</t>
  </si>
  <si>
    <t>Haris Buckley</t>
  </si>
  <si>
    <t>Morgan Mathis</t>
  </si>
  <si>
    <t>Tomas Mccall</t>
  </si>
  <si>
    <t>Irene Avila</t>
  </si>
  <si>
    <t>Daniela Dickson</t>
  </si>
  <si>
    <t>Lewys Joyce</t>
  </si>
  <si>
    <t>Helen Perez</t>
  </si>
  <si>
    <t>Elif Benton</t>
  </si>
  <si>
    <t>Poppie Orozco</t>
  </si>
  <si>
    <t>Syed Chang</t>
  </si>
  <si>
    <t>Belle Robles</t>
  </si>
  <si>
    <t>Stuart Valenzuela</t>
  </si>
  <si>
    <t>Cecily Park</t>
  </si>
  <si>
    <t>Marianne Logan</t>
  </si>
  <si>
    <t>Nabil Le</t>
  </si>
  <si>
    <t>Grade</t>
  </si>
  <si>
    <t>Student Gradebook Dashboard</t>
  </si>
  <si>
    <t>Average Marks</t>
  </si>
  <si>
    <t>Highest Marks</t>
  </si>
  <si>
    <t>Lowest Marks</t>
  </si>
  <si>
    <t>Students Passed</t>
  </si>
  <si>
    <t>Student Performance Summary</t>
  </si>
  <si>
    <t>Name</t>
  </si>
  <si>
    <t>Top 3 Students</t>
  </si>
  <si>
    <t>Subject-Wise Average</t>
  </si>
  <si>
    <t>Calculations</t>
  </si>
  <si>
    <t>Subject - Wise Average</t>
  </si>
  <si>
    <t>Performance Overview 2082 BS</t>
  </si>
  <si>
    <t>Insights Section</t>
  </si>
  <si>
    <t>Stu. ID</t>
  </si>
  <si>
    <t>80% of students passed.
“Math” had the highest average marks (73.9).
“Science” was the lowest-performing subject.
“Penny” achieved top performance.</t>
  </si>
  <si>
    <t>Project Overview</t>
  </si>
  <si>
    <t>Description</t>
  </si>
  <si>
    <t>Project Title</t>
  </si>
  <si>
    <t>Students Gradebook</t>
  </si>
  <si>
    <t>Key Features</t>
  </si>
  <si>
    <t>Insights Genereated</t>
  </si>
  <si>
    <t>Visual dashboard shows:</t>
  </si>
  <si>
    <t>Enables quick academic evaluation.</t>
  </si>
  <si>
    <t>Overall pass rates.</t>
  </si>
  <si>
    <t>Subject-wise and student-wise charts.</t>
  </si>
  <si>
    <t>Highlights top 5 performers,</t>
  </si>
  <si>
    <t>Shows subject-wise averages,</t>
  </si>
  <si>
    <t xml:space="preserve"> Analyzes pass/fail rates and trends,</t>
  </si>
  <si>
    <r>
      <t xml:space="preserve">Cell referencing: </t>
    </r>
    <r>
      <rPr>
        <sz val="10"/>
        <color theme="1"/>
        <rFont val="Arial Unicode MS"/>
      </rPr>
      <t>=Sheet!A1,</t>
    </r>
  </si>
  <si>
    <r>
      <t xml:space="preserve">Formulas used: 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LARGE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INDEX-MATCH,</t>
    </r>
  </si>
  <si>
    <t>Data visualization: Pie Charts and Column Charts,</t>
  </si>
  <si>
    <t>Dynamic averages using AVERAGEIF,</t>
  </si>
  <si>
    <t>Auto grade classification with IF statements,</t>
  </si>
  <si>
    <t>Conditional formatting for quick performance insights,</t>
  </si>
  <si>
    <t>Tracks student academic performance using Excel,</t>
  </si>
  <si>
    <t>Includes student details, subjects, and marks,</t>
  </si>
  <si>
    <t>Calculates grades, averages, and performance summaries,</t>
  </si>
  <si>
    <t>Top-performing students,</t>
  </si>
  <si>
    <t>Subject-wise averages,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</si>
</sst>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20"/>
      <color theme="0"/>
      <name val="Impact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Arial Black"/>
      <family val="2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EAF0F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1C5DB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/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6" borderId="4" xfId="0" applyFill="1" applyBorder="1"/>
    <xf numFmtId="0" fontId="0" fillId="6" borderId="0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1" fillId="6" borderId="1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1" fillId="6" borderId="4" xfId="0" applyFont="1" applyFill="1" applyBorder="1"/>
    <xf numFmtId="0" fontId="1" fillId="6" borderId="0" xfId="0" applyFont="1" applyFill="1" applyBorder="1"/>
    <xf numFmtId="0" fontId="1" fillId="6" borderId="5" xfId="0" applyFont="1" applyFill="1" applyBorder="1"/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F0FA"/>
      <color rgb="FFF9F9F9"/>
      <color rgb="FF1C5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7154230573861"/>
          <c:y val="2.9753734261420313E-2"/>
          <c:w val="0.80370390500273126"/>
          <c:h val="0.764367891513560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Dashboard!$A$11:$B$13</c:f>
              <c:multiLvlStrCache>
                <c:ptCount val="3"/>
                <c:lvl>
                  <c:pt idx="0">
                    <c:v>Math</c:v>
                  </c:pt>
                  <c:pt idx="1">
                    <c:v>English</c:v>
                  </c:pt>
                  <c:pt idx="2">
                    <c:v>Social</c:v>
                  </c:pt>
                </c:lvl>
                <c:lvl>
                  <c:pt idx="0">
                    <c:v>Penny Lucas</c:v>
                  </c:pt>
                  <c:pt idx="1">
                    <c:v>Alicia Kennedy</c:v>
                  </c:pt>
                  <c:pt idx="2">
                    <c:v>Zaina Gates</c:v>
                  </c:pt>
                </c:lvl>
              </c:multiLvlStrCache>
            </c:multiLvlStrRef>
          </c:cat>
          <c:val>
            <c:numRef>
              <c:f>Dashboard!$C$11:$C$13</c:f>
              <c:numCache>
                <c:formatCode>General</c:formatCode>
                <c:ptCount val="3"/>
                <c:pt idx="0">
                  <c:v>99</c:v>
                </c:pt>
                <c:pt idx="1">
                  <c:v>95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3-4140-8C3D-339B351CD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8557791"/>
        <c:axId val="438547391"/>
      </c:barChart>
      <c:catAx>
        <c:axId val="43855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47391"/>
        <c:crosses val="autoZero"/>
        <c:auto val="1"/>
        <c:lblAlgn val="ctr"/>
        <c:lblOffset val="100"/>
        <c:noMultiLvlLbl val="0"/>
      </c:catAx>
      <c:valAx>
        <c:axId val="43854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5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 Data'!$I$11</c:f>
              <c:strCache>
                <c:ptCount val="1"/>
                <c:pt idx="0">
                  <c:v>Average 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'Grade Data'!$H$12:$H$16</c:f>
              <c:strCache>
                <c:ptCount val="5"/>
                <c:pt idx="0">
                  <c:v>English</c:v>
                </c:pt>
                <c:pt idx="1">
                  <c:v>Math</c:v>
                </c:pt>
                <c:pt idx="2">
                  <c:v>Nepali</c:v>
                </c:pt>
                <c:pt idx="3">
                  <c:v>Science</c:v>
                </c:pt>
                <c:pt idx="4">
                  <c:v>Social</c:v>
                </c:pt>
              </c:strCache>
            </c:strRef>
          </c:cat>
          <c:val>
            <c:numRef>
              <c:f>'Grade Data'!$I$12:$I$16</c:f>
              <c:numCache>
                <c:formatCode>General</c:formatCode>
                <c:ptCount val="5"/>
                <c:pt idx="0">
                  <c:v>63.9</c:v>
                </c:pt>
                <c:pt idx="1">
                  <c:v>73.900000000000006</c:v>
                </c:pt>
                <c:pt idx="2">
                  <c:v>65.599999999999994</c:v>
                </c:pt>
                <c:pt idx="3">
                  <c:v>57.4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F-423F-A507-8A8331A57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302303"/>
        <c:axId val="211295647"/>
      </c:barChart>
      <c:catAx>
        <c:axId val="21130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5647"/>
        <c:crosses val="autoZero"/>
        <c:auto val="1"/>
        <c:lblAlgn val="ctr"/>
        <c:lblOffset val="100"/>
        <c:noMultiLvlLbl val="0"/>
      </c:catAx>
      <c:valAx>
        <c:axId val="2112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8</xdr:row>
      <xdr:rowOff>47624</xdr:rowOff>
    </xdr:from>
    <xdr:to>
      <xdr:col>6</xdr:col>
      <xdr:colOff>1543050</xdr:colOff>
      <xdr:row>21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17</xdr:row>
      <xdr:rowOff>38100</xdr:rowOff>
    </xdr:from>
    <xdr:to>
      <xdr:col>4</xdr:col>
      <xdr:colOff>781050</xdr:colOff>
      <xdr:row>28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0:D15" totalsRowShown="0" headerRowDxfId="6" dataDxfId="5" tableBorderDxfId="4">
  <autoFilter ref="A10:D15"/>
  <tableColumns count="4">
    <tableColumn id="1" name="Name" dataDxfId="3"/>
    <tableColumn id="2" name="Subject" dataDxfId="2"/>
    <tableColumn id="3" name="Marks" dataDxfId="1"/>
    <tableColumn id="4" name="Grad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zoomScale="95" zoomScaleNormal="95" workbookViewId="0">
      <selection activeCell="C15" sqref="C15"/>
    </sheetView>
  </sheetViews>
  <sheetFormatPr defaultRowHeight="15"/>
  <cols>
    <col min="1" max="1" width="19.140625" style="2" bestFit="1" customWidth="1"/>
    <col min="2" max="2" width="67.5703125" style="57" customWidth="1"/>
    <col min="3" max="16384" width="9.140625" style="2"/>
  </cols>
  <sheetData>
    <row r="1" spans="1:2" ht="15.75">
      <c r="A1" s="58" t="s">
        <v>125</v>
      </c>
      <c r="B1" s="59"/>
    </row>
    <row r="2" spans="1:2">
      <c r="A2" s="34" t="s">
        <v>127</v>
      </c>
      <c r="B2" s="60" t="s">
        <v>128</v>
      </c>
    </row>
    <row r="3" spans="1:2">
      <c r="A3" s="34" t="s">
        <v>126</v>
      </c>
      <c r="B3" s="61" t="s">
        <v>144</v>
      </c>
    </row>
    <row r="4" spans="1:2">
      <c r="A4" s="34"/>
      <c r="B4" s="61" t="s">
        <v>145</v>
      </c>
    </row>
    <row r="5" spans="1:2">
      <c r="A5" s="34"/>
      <c r="B5" s="61" t="s">
        <v>146</v>
      </c>
    </row>
    <row r="6" spans="1:2">
      <c r="A6" s="34"/>
      <c r="B6" s="61" t="s">
        <v>131</v>
      </c>
    </row>
    <row r="7" spans="1:2">
      <c r="A7" s="34"/>
      <c r="B7" s="61" t="s">
        <v>147</v>
      </c>
    </row>
    <row r="8" spans="1:2">
      <c r="A8" s="34"/>
      <c r="B8" s="61" t="s">
        <v>148</v>
      </c>
    </row>
    <row r="9" spans="1:2">
      <c r="A9" s="34"/>
      <c r="B9" s="61" t="s">
        <v>133</v>
      </c>
    </row>
    <row r="10" spans="1:2">
      <c r="A10" s="34"/>
      <c r="B10" s="20"/>
    </row>
    <row r="11" spans="1:2">
      <c r="A11" s="34" t="s">
        <v>129</v>
      </c>
      <c r="B11" s="61" t="s">
        <v>138</v>
      </c>
    </row>
    <row r="12" spans="1:2" ht="27.75">
      <c r="A12" s="34"/>
      <c r="B12" s="61" t="s">
        <v>139</v>
      </c>
    </row>
    <row r="13" spans="1:2">
      <c r="A13" s="34"/>
      <c r="B13" s="61" t="s">
        <v>140</v>
      </c>
    </row>
    <row r="14" spans="1:2">
      <c r="A14" s="34"/>
      <c r="B14" s="61" t="s">
        <v>141</v>
      </c>
    </row>
    <row r="15" spans="1:2">
      <c r="A15" s="34"/>
      <c r="B15" s="61" t="s">
        <v>142</v>
      </c>
    </row>
    <row r="16" spans="1:2">
      <c r="A16" s="18"/>
      <c r="B16" s="61" t="s">
        <v>143</v>
      </c>
    </row>
    <row r="17" spans="1:2">
      <c r="A17" s="18"/>
      <c r="B17" s="61" t="s">
        <v>134</v>
      </c>
    </row>
    <row r="18" spans="1:2">
      <c r="A18" s="18"/>
      <c r="B18" s="20"/>
    </row>
    <row r="19" spans="1:2">
      <c r="A19" s="34" t="s">
        <v>130</v>
      </c>
      <c r="B19" s="61" t="s">
        <v>135</v>
      </c>
    </row>
    <row r="20" spans="1:2">
      <c r="A20" s="18"/>
      <c r="B20" s="61" t="s">
        <v>136</v>
      </c>
    </row>
    <row r="21" spans="1:2">
      <c r="A21" s="18"/>
      <c r="B21" s="61" t="s">
        <v>137</v>
      </c>
    </row>
    <row r="22" spans="1:2">
      <c r="A22" s="62"/>
      <c r="B22" s="63" t="s">
        <v>132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23" zoomScaleNormal="100" workbookViewId="0">
      <selection activeCell="J35" sqref="J35"/>
    </sheetView>
  </sheetViews>
  <sheetFormatPr defaultRowHeight="15"/>
  <cols>
    <col min="1" max="1" width="18.85546875" style="3" customWidth="1"/>
    <col min="2" max="2" width="12.140625" style="3" bestFit="1" customWidth="1"/>
    <col min="3" max="3" width="19.42578125" style="3" bestFit="1" customWidth="1"/>
    <col min="4" max="4" width="15.42578125" style="3" customWidth="1"/>
    <col min="5" max="5" width="18.42578125" style="3" bestFit="1" customWidth="1"/>
    <col min="6" max="6" width="8" style="3" customWidth="1"/>
    <col min="7" max="7" width="24.85546875" style="3" customWidth="1"/>
    <col min="8" max="16384" width="9.140625" style="3"/>
  </cols>
  <sheetData>
    <row r="1" spans="1:7" ht="34.5" customHeight="1">
      <c r="A1" s="9" t="s">
        <v>110</v>
      </c>
      <c r="B1" s="10"/>
      <c r="C1" s="10"/>
      <c r="D1" s="10"/>
      <c r="E1" s="10"/>
      <c r="F1" s="10"/>
      <c r="G1" s="11"/>
    </row>
    <row r="2" spans="1:7" ht="28.5" customHeight="1">
      <c r="A2" s="12" t="s">
        <v>121</v>
      </c>
      <c r="B2" s="13"/>
      <c r="C2" s="13"/>
      <c r="D2" s="13"/>
      <c r="E2" s="13"/>
      <c r="F2" s="13"/>
      <c r="G2" s="14"/>
    </row>
    <row r="3" spans="1:7" ht="9" customHeight="1">
      <c r="A3" s="15"/>
      <c r="B3" s="16"/>
      <c r="C3" s="16"/>
      <c r="D3" s="16"/>
      <c r="E3" s="16"/>
      <c r="F3" s="16"/>
      <c r="G3" s="17"/>
    </row>
    <row r="4" spans="1:7" ht="25.5" customHeight="1">
      <c r="A4" s="34" t="s">
        <v>111</v>
      </c>
      <c r="B4" s="16"/>
      <c r="C4" s="35" t="s">
        <v>112</v>
      </c>
      <c r="D4" s="16"/>
      <c r="E4" s="35" t="s">
        <v>113</v>
      </c>
      <c r="F4" s="16"/>
      <c r="G4" s="36" t="s">
        <v>114</v>
      </c>
    </row>
    <row r="5" spans="1:7" ht="24" customHeight="1">
      <c r="A5" s="18">
        <f>'Grade Data'!H8</f>
        <v>66.56</v>
      </c>
      <c r="B5" s="16"/>
      <c r="C5" s="19">
        <f>'Grade Data'!I8</f>
        <v>99</v>
      </c>
      <c r="D5" s="16"/>
      <c r="E5" s="19">
        <f>'Grade Data'!J8</f>
        <v>4</v>
      </c>
      <c r="F5" s="16"/>
      <c r="G5" s="20">
        <f>'Grade Data'!K8</f>
        <v>46</v>
      </c>
    </row>
    <row r="6" spans="1:7">
      <c r="A6" s="15"/>
      <c r="B6" s="16"/>
      <c r="C6" s="16"/>
      <c r="D6" s="16"/>
      <c r="E6" s="16"/>
      <c r="F6" s="16"/>
      <c r="G6" s="17"/>
    </row>
    <row r="7" spans="1:7">
      <c r="A7" s="15"/>
      <c r="B7" s="16"/>
      <c r="C7" s="16"/>
      <c r="D7" s="16"/>
      <c r="E7" s="16"/>
      <c r="F7" s="16"/>
      <c r="G7" s="17"/>
    </row>
    <row r="8" spans="1:7" ht="21">
      <c r="A8" s="21" t="s">
        <v>115</v>
      </c>
      <c r="B8" s="22"/>
      <c r="C8" s="22"/>
      <c r="D8" s="22"/>
      <c r="E8" s="23"/>
      <c r="F8" s="22" t="s">
        <v>117</v>
      </c>
      <c r="G8" s="24"/>
    </row>
    <row r="9" spans="1:7" ht="6" customHeight="1">
      <c r="A9" s="15"/>
      <c r="B9" s="16"/>
      <c r="C9" s="16"/>
      <c r="D9" s="16"/>
      <c r="E9" s="16"/>
      <c r="F9" s="16"/>
      <c r="G9" s="17"/>
    </row>
    <row r="10" spans="1:7" ht="19.5" customHeight="1">
      <c r="A10" s="25" t="s">
        <v>116</v>
      </c>
      <c r="B10" s="4" t="s">
        <v>1</v>
      </c>
      <c r="C10" s="4" t="s">
        <v>2</v>
      </c>
      <c r="D10" s="5" t="s">
        <v>109</v>
      </c>
      <c r="E10" s="16"/>
      <c r="F10" s="16"/>
      <c r="G10" s="17"/>
    </row>
    <row r="11" spans="1:7" ht="23.25" customHeight="1">
      <c r="A11" s="26" t="str">
        <f>INDEX('Grade Data'!$B:$B, MATCH(LARGE('Grade Data'!$D:$D, 1), 'Grade Data'!$D:$D, 0))</f>
        <v>Penny Lucas</v>
      </c>
      <c r="B11" s="6" t="str">
        <f>INDEX('Grade Data'!C:C, MATCH(LARGE('Grade Data'!D:D, 1), 'Grade Data'!$D:$D, 0))</f>
        <v>Math</v>
      </c>
      <c r="C11" s="6">
        <f>LARGE('Grade Data'!$D:$D, 1)</f>
        <v>99</v>
      </c>
      <c r="D11" s="7" t="str">
        <f>INDEX('Grade Data'!F:F, MATCH(LARGE('Grade Data'!D:D, 1), 'Grade Data'!$D:$D, 0))</f>
        <v>A+</v>
      </c>
      <c r="E11" s="16"/>
      <c r="F11" s="16"/>
      <c r="G11" s="17"/>
    </row>
    <row r="12" spans="1:7" ht="22.5" customHeight="1">
      <c r="A12" s="26" t="str">
        <f>INDEX('Grade Data'!$B:$B, MATCH(LARGE('Grade Data'!$D:$D, 2), 'Grade Data'!$D:$D, 0))</f>
        <v>Alicia Kennedy</v>
      </c>
      <c r="B12" s="6" t="str">
        <f>INDEX('Grade Data'!C:C, MATCH(LARGE('Grade Data'!D:D, 2), 'Grade Data'!$D:$D, 0))</f>
        <v>English</v>
      </c>
      <c r="C12" s="6">
        <f>LARGE('Grade Data'!$D:$D, 2)</f>
        <v>95</v>
      </c>
      <c r="D12" s="7" t="str">
        <f>INDEX('Grade Data'!F:F, MATCH(LARGE('Grade Data'!D:D, 2), 'Grade Data'!$D:$D, 0))</f>
        <v>A+</v>
      </c>
      <c r="E12" s="16"/>
      <c r="F12" s="16"/>
      <c r="G12" s="17"/>
    </row>
    <row r="13" spans="1:7" ht="23.25" customHeight="1">
      <c r="A13" s="26" t="str">
        <f>INDEX('Grade Data'!$B:$B, MATCH(LARGE('Grade Data'!$D:$D, 3), 'Grade Data'!$D:$D, 0))</f>
        <v>Zaina Gates</v>
      </c>
      <c r="B13" s="6" t="str">
        <f>INDEX('Grade Data'!C:C, MATCH(LARGE('Grade Data'!D:D, 3), 'Grade Data'!$D:$D, 0))</f>
        <v>Social</v>
      </c>
      <c r="C13" s="6">
        <f>LARGE('Grade Data'!$D:$D, 3)</f>
        <v>90</v>
      </c>
      <c r="D13" s="7" t="str">
        <f>INDEX('Grade Data'!F:F, MATCH(LARGE('Grade Data'!D:D, 3), 'Grade Data'!$D:$D, 0))</f>
        <v>A+</v>
      </c>
      <c r="E13" s="16"/>
      <c r="F13" s="16"/>
      <c r="G13" s="17"/>
    </row>
    <row r="14" spans="1:7">
      <c r="A14" s="26" t="str">
        <f>INDEX('Grade Data'!$B:$B, MATCH(LARGE('Grade Data'!$D:$D, 4), 'Grade Data'!$D:$D, 0))</f>
        <v>Isla Lamb</v>
      </c>
      <c r="B14" s="6" t="str">
        <f>INDEX('Grade Data'!C:C, MATCH(LARGE('Grade Data'!D:D, 4), 'Grade Data'!$D:$D, 0))</f>
        <v>Math</v>
      </c>
      <c r="C14" s="6">
        <f>LARGE('Grade Data'!$D:$D, 4)</f>
        <v>89</v>
      </c>
      <c r="D14" s="7" t="str">
        <f>INDEX('Grade Data'!F:F, MATCH(LARGE('Grade Data'!D:D, 4), 'Grade Data'!$D:$D, 0))</f>
        <v>A</v>
      </c>
      <c r="E14" s="16"/>
      <c r="F14" s="16"/>
      <c r="G14" s="17"/>
    </row>
    <row r="15" spans="1:7">
      <c r="A15" s="26" t="str">
        <f>INDEX('Grade Data'!$B:$B, MATCH(LARGE('Grade Data'!$D:$D, 5), 'Grade Data'!$D:$D, 0))</f>
        <v>Kristina Rogers</v>
      </c>
      <c r="B15" s="6" t="str">
        <f>INDEX('Grade Data'!C:C, MATCH(LARGE('Grade Data'!E:E, 5), 'Grade Data'!E:E, 0))</f>
        <v>Math</v>
      </c>
      <c r="C15" s="6">
        <f>LARGE('Grade Data'!$D:$D, 5)</f>
        <v>86</v>
      </c>
      <c r="D15" s="7" t="str">
        <f>INDEX('Grade Data'!F:F, MATCH(LARGE('Grade Data'!D:D,5), 'Grade Data'!$D:$D, 0))</f>
        <v>A</v>
      </c>
      <c r="E15" s="16"/>
      <c r="F15" s="16"/>
      <c r="G15" s="17"/>
    </row>
    <row r="16" spans="1:7">
      <c r="A16" s="15"/>
      <c r="B16" s="16"/>
      <c r="C16" s="16"/>
      <c r="D16" s="16"/>
      <c r="E16" s="16"/>
      <c r="F16" s="16"/>
      <c r="G16" s="17"/>
    </row>
    <row r="17" spans="1:7" ht="21">
      <c r="A17" s="21" t="s">
        <v>118</v>
      </c>
      <c r="B17" s="22"/>
      <c r="C17" s="22"/>
      <c r="D17" s="22"/>
      <c r="E17" s="16"/>
      <c r="F17" s="16"/>
      <c r="G17" s="17"/>
    </row>
    <row r="18" spans="1:7">
      <c r="A18" s="15"/>
      <c r="B18" s="16"/>
      <c r="C18" s="16"/>
      <c r="D18" s="16"/>
      <c r="E18" s="16"/>
      <c r="F18" s="16"/>
      <c r="G18" s="17"/>
    </row>
    <row r="19" spans="1:7">
      <c r="A19" s="15"/>
      <c r="B19" s="16"/>
      <c r="C19" s="16"/>
      <c r="D19" s="16"/>
      <c r="E19" s="16"/>
      <c r="F19" s="16"/>
      <c r="G19" s="17"/>
    </row>
    <row r="20" spans="1:7">
      <c r="A20" s="15"/>
      <c r="B20" s="16"/>
      <c r="C20" s="16"/>
      <c r="D20" s="16"/>
      <c r="E20" s="16"/>
      <c r="F20" s="16"/>
      <c r="G20" s="17"/>
    </row>
    <row r="21" spans="1:7">
      <c r="A21" s="15"/>
      <c r="B21" s="16"/>
      <c r="C21" s="16"/>
      <c r="D21" s="16"/>
      <c r="E21" s="16"/>
      <c r="F21" s="16"/>
      <c r="G21" s="17"/>
    </row>
    <row r="22" spans="1:7">
      <c r="A22" s="15"/>
      <c r="B22" s="16"/>
      <c r="C22" s="16"/>
      <c r="D22" s="16"/>
      <c r="E22" s="16"/>
      <c r="F22" s="16"/>
      <c r="G22" s="17"/>
    </row>
    <row r="23" spans="1:7" ht="21">
      <c r="A23" s="15"/>
      <c r="B23" s="16"/>
      <c r="C23" s="16"/>
      <c r="D23" s="16"/>
      <c r="E23" s="16"/>
      <c r="F23" s="22" t="s">
        <v>122</v>
      </c>
      <c r="G23" s="24"/>
    </row>
    <row r="24" spans="1:7">
      <c r="A24" s="15"/>
      <c r="B24" s="16"/>
      <c r="C24" s="16"/>
      <c r="D24" s="16"/>
      <c r="E24" s="16"/>
      <c r="F24" s="27" t="s">
        <v>124</v>
      </c>
      <c r="G24" s="28"/>
    </row>
    <row r="25" spans="1:7">
      <c r="A25" s="15"/>
      <c r="B25" s="16"/>
      <c r="C25" s="16"/>
      <c r="D25" s="16"/>
      <c r="E25" s="16"/>
      <c r="F25" s="29"/>
      <c r="G25" s="28"/>
    </row>
    <row r="26" spans="1:7">
      <c r="A26" s="15"/>
      <c r="B26" s="16"/>
      <c r="C26" s="16"/>
      <c r="D26" s="16"/>
      <c r="E26" s="16"/>
      <c r="F26" s="29"/>
      <c r="G26" s="28"/>
    </row>
    <row r="27" spans="1:7">
      <c r="A27" s="15"/>
      <c r="B27" s="16"/>
      <c r="C27" s="16"/>
      <c r="D27" s="16"/>
      <c r="E27" s="16"/>
      <c r="F27" s="29"/>
      <c r="G27" s="28"/>
    </row>
    <row r="28" spans="1:7">
      <c r="A28" s="15"/>
      <c r="B28" s="16"/>
      <c r="C28" s="16"/>
      <c r="D28" s="16"/>
      <c r="E28" s="16"/>
      <c r="F28" s="29"/>
      <c r="G28" s="28"/>
    </row>
    <row r="29" spans="1:7">
      <c r="A29" s="15"/>
      <c r="B29" s="16"/>
      <c r="C29" s="16"/>
      <c r="D29" s="16"/>
      <c r="E29" s="16"/>
      <c r="F29" s="29"/>
      <c r="G29" s="28"/>
    </row>
    <row r="30" spans="1:7">
      <c r="A30" s="30"/>
      <c r="B30" s="31"/>
      <c r="C30" s="31"/>
      <c r="D30" s="31"/>
      <c r="E30" s="31"/>
      <c r="F30" s="32"/>
      <c r="G30" s="33"/>
    </row>
    <row r="31" spans="1:7">
      <c r="A31" s="8"/>
      <c r="B31" s="8"/>
      <c r="C31" s="8"/>
      <c r="D31" s="8"/>
      <c r="E31" s="8"/>
      <c r="F31" s="8"/>
      <c r="G31" s="8"/>
    </row>
  </sheetData>
  <mergeCells count="7">
    <mergeCell ref="F23:G23"/>
    <mergeCell ref="F24:G30"/>
    <mergeCell ref="A1:G1"/>
    <mergeCell ref="A2:G2"/>
    <mergeCell ref="A8:D8"/>
    <mergeCell ref="F8:G8"/>
    <mergeCell ref="A17:D1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J19" sqref="J19"/>
    </sheetView>
  </sheetViews>
  <sheetFormatPr defaultRowHeight="15"/>
  <cols>
    <col min="1" max="1" width="9.5703125" bestFit="1" customWidth="1"/>
    <col min="2" max="2" width="17.7109375" bestFit="1" customWidth="1"/>
    <col min="3" max="3" width="11" bestFit="1" customWidth="1"/>
    <col min="4" max="4" width="9" bestFit="1" customWidth="1"/>
    <col min="5" max="5" width="14.42578125" bestFit="1" customWidth="1"/>
    <col min="6" max="6" width="10.7109375" customWidth="1"/>
    <col min="8" max="8" width="14.140625" customWidth="1"/>
    <col min="9" max="9" width="13.5703125" bestFit="1" customWidth="1"/>
    <col min="10" max="10" width="13.140625" bestFit="1" customWidth="1"/>
    <col min="11" max="11" width="15.5703125" bestFit="1" customWidth="1"/>
  </cols>
  <sheetData>
    <row r="1" spans="1:15" ht="24.75" customHeight="1">
      <c r="A1" s="37" t="s">
        <v>123</v>
      </c>
      <c r="B1" s="38" t="s">
        <v>0</v>
      </c>
      <c r="C1" s="38" t="s">
        <v>1</v>
      </c>
      <c r="D1" s="38" t="s">
        <v>2</v>
      </c>
      <c r="E1" s="38" t="s">
        <v>3</v>
      </c>
      <c r="F1" s="39" t="s">
        <v>109</v>
      </c>
      <c r="O1" s="1"/>
    </row>
    <row r="2" spans="1:15">
      <c r="A2" s="40" t="s">
        <v>4</v>
      </c>
      <c r="B2" s="41" t="s">
        <v>59</v>
      </c>
      <c r="C2" s="41" t="s">
        <v>5</v>
      </c>
      <c r="D2" s="41">
        <v>74</v>
      </c>
      <c r="E2" s="41">
        <v>100</v>
      </c>
      <c r="F2" s="42" t="str">
        <f>IF(D2&gt;=90,"A+",IF(D2&gt;=80,"A",IF(D2&gt;=70,"B+",IF(D2&gt;=60,"B",IF(D2&gt;=50,"C+",IF(D2&gt;=40,"C",IF(D2&gt;=35,"D","NG")))))))</f>
        <v>B+</v>
      </c>
    </row>
    <row r="3" spans="1:15">
      <c r="A3" s="40" t="s">
        <v>6</v>
      </c>
      <c r="B3" s="41" t="s">
        <v>60</v>
      </c>
      <c r="C3" s="41" t="s">
        <v>7</v>
      </c>
      <c r="D3" s="41">
        <v>78</v>
      </c>
      <c r="E3" s="41">
        <v>100</v>
      </c>
      <c r="F3" s="42" t="str">
        <f t="shared" ref="F3:F51" si="0">IF(D3&gt;=90,"A+",IF(D3&gt;=80,"A",IF(D3&gt;=70,"B+",IF(D3&gt;=60,"B",IF(D3&gt;=50,"C+",IF(D3&gt;=40,"C",IF(D3&gt;=35,"D","NG")))))))</f>
        <v>B+</v>
      </c>
    </row>
    <row r="4" spans="1:15">
      <c r="A4" s="40" t="s">
        <v>8</v>
      </c>
      <c r="B4" s="41" t="s">
        <v>61</v>
      </c>
      <c r="C4" s="41" t="s">
        <v>9</v>
      </c>
      <c r="D4" s="41">
        <v>64</v>
      </c>
      <c r="E4" s="41">
        <v>100</v>
      </c>
      <c r="F4" s="42" t="str">
        <f t="shared" si="0"/>
        <v>B</v>
      </c>
    </row>
    <row r="5" spans="1:15">
      <c r="A5" s="40" t="s">
        <v>10</v>
      </c>
      <c r="B5" s="41" t="s">
        <v>62</v>
      </c>
      <c r="C5" s="41" t="s">
        <v>11</v>
      </c>
      <c r="D5" s="41">
        <v>75</v>
      </c>
      <c r="E5" s="41">
        <v>100</v>
      </c>
      <c r="F5" s="42" t="str">
        <f t="shared" si="0"/>
        <v>B+</v>
      </c>
    </row>
    <row r="6" spans="1:15">
      <c r="A6" s="40" t="s">
        <v>12</v>
      </c>
      <c r="B6" s="41" t="s">
        <v>63</v>
      </c>
      <c r="C6" s="41" t="s">
        <v>13</v>
      </c>
      <c r="D6" s="41">
        <v>57</v>
      </c>
      <c r="E6" s="41">
        <v>100</v>
      </c>
      <c r="F6" s="42" t="str">
        <f t="shared" si="0"/>
        <v>C+</v>
      </c>
      <c r="H6" s="46" t="s">
        <v>119</v>
      </c>
      <c r="I6" s="47"/>
      <c r="J6" s="47"/>
      <c r="K6" s="48"/>
    </row>
    <row r="7" spans="1:15">
      <c r="A7" s="40" t="s">
        <v>14</v>
      </c>
      <c r="B7" s="41" t="s">
        <v>64</v>
      </c>
      <c r="C7" s="41" t="s">
        <v>5</v>
      </c>
      <c r="D7" s="41">
        <v>99</v>
      </c>
      <c r="E7" s="41">
        <v>100</v>
      </c>
      <c r="F7" s="42" t="str">
        <f t="shared" si="0"/>
        <v>A+</v>
      </c>
      <c r="H7" s="49" t="s">
        <v>111</v>
      </c>
      <c r="I7" s="50" t="s">
        <v>112</v>
      </c>
      <c r="J7" s="50" t="s">
        <v>113</v>
      </c>
      <c r="K7" s="51" t="s">
        <v>114</v>
      </c>
    </row>
    <row r="8" spans="1:15">
      <c r="A8" s="40" t="s">
        <v>15</v>
      </c>
      <c r="B8" s="41" t="s">
        <v>65</v>
      </c>
      <c r="C8" s="41" t="s">
        <v>7</v>
      </c>
      <c r="D8" s="41">
        <v>82</v>
      </c>
      <c r="E8" s="41">
        <v>100</v>
      </c>
      <c r="F8" s="42" t="str">
        <f t="shared" si="0"/>
        <v>A</v>
      </c>
      <c r="H8" s="52">
        <f>AVERAGE(D2:D51)</f>
        <v>66.56</v>
      </c>
      <c r="I8" s="53">
        <f>MAX(D2:D51)</f>
        <v>99</v>
      </c>
      <c r="J8" s="53">
        <f>MIN(D:D)</f>
        <v>4</v>
      </c>
      <c r="K8" s="54">
        <f>COUNTIF(D:D, "&gt;= 35")</f>
        <v>46</v>
      </c>
    </row>
    <row r="9" spans="1:15">
      <c r="A9" s="40" t="s">
        <v>16</v>
      </c>
      <c r="B9" s="41" t="s">
        <v>66</v>
      </c>
      <c r="C9" s="41" t="s">
        <v>9</v>
      </c>
      <c r="D9" s="41">
        <v>65</v>
      </c>
      <c r="E9" s="41">
        <v>100</v>
      </c>
      <c r="F9" s="42" t="str">
        <f t="shared" si="0"/>
        <v>B</v>
      </c>
    </row>
    <row r="10" spans="1:15">
      <c r="A10" s="40" t="s">
        <v>17</v>
      </c>
      <c r="B10" s="41" t="s">
        <v>67</v>
      </c>
      <c r="C10" s="41" t="s">
        <v>11</v>
      </c>
      <c r="D10" s="41">
        <v>64</v>
      </c>
      <c r="E10" s="41">
        <v>100</v>
      </c>
      <c r="F10" s="42" t="str">
        <f t="shared" si="0"/>
        <v>B</v>
      </c>
      <c r="H10" s="55" t="s">
        <v>120</v>
      </c>
      <c r="I10" s="56"/>
    </row>
    <row r="11" spans="1:15">
      <c r="A11" s="40" t="s">
        <v>18</v>
      </c>
      <c r="B11" s="41" t="s">
        <v>68</v>
      </c>
      <c r="C11" s="41" t="s">
        <v>13</v>
      </c>
      <c r="D11" s="41">
        <v>64</v>
      </c>
      <c r="E11" s="41">
        <v>100</v>
      </c>
      <c r="F11" s="42" t="str">
        <f t="shared" si="0"/>
        <v>B</v>
      </c>
      <c r="H11" s="49" t="s">
        <v>1</v>
      </c>
      <c r="I11" s="51" t="s">
        <v>111</v>
      </c>
    </row>
    <row r="12" spans="1:15">
      <c r="A12" s="40" t="s">
        <v>19</v>
      </c>
      <c r="B12" s="41" t="s">
        <v>69</v>
      </c>
      <c r="C12" s="41" t="s">
        <v>5</v>
      </c>
      <c r="D12" s="41">
        <v>89</v>
      </c>
      <c r="E12" s="41">
        <v>100</v>
      </c>
      <c r="F12" s="42" t="str">
        <f t="shared" si="0"/>
        <v>A</v>
      </c>
      <c r="H12" s="40" t="s">
        <v>9</v>
      </c>
      <c r="I12" s="42">
        <f>AVERAGEIF($C:$C, H12, $D:$D)</f>
        <v>63.9</v>
      </c>
    </row>
    <row r="13" spans="1:15">
      <c r="A13" s="40" t="s">
        <v>20</v>
      </c>
      <c r="B13" s="41" t="s">
        <v>70</v>
      </c>
      <c r="C13" s="41" t="s">
        <v>7</v>
      </c>
      <c r="D13" s="41">
        <v>15</v>
      </c>
      <c r="E13" s="41">
        <v>100</v>
      </c>
      <c r="F13" s="42" t="str">
        <f t="shared" si="0"/>
        <v>NG</v>
      </c>
      <c r="H13" s="40" t="s">
        <v>5</v>
      </c>
      <c r="I13" s="42">
        <f>AVERAGEIF($C:$C, H13, $D:$D)</f>
        <v>73.900000000000006</v>
      </c>
    </row>
    <row r="14" spans="1:15">
      <c r="A14" s="40" t="s">
        <v>21</v>
      </c>
      <c r="B14" s="41" t="s">
        <v>71</v>
      </c>
      <c r="C14" s="41" t="s">
        <v>9</v>
      </c>
      <c r="D14" s="41">
        <v>95</v>
      </c>
      <c r="E14" s="41">
        <v>100</v>
      </c>
      <c r="F14" s="42" t="str">
        <f t="shared" si="0"/>
        <v>A+</v>
      </c>
      <c r="H14" s="40" t="s">
        <v>13</v>
      </c>
      <c r="I14" s="42">
        <f>AVERAGEIF($C:$C, H14, $D:$D)</f>
        <v>65.599999999999994</v>
      </c>
    </row>
    <row r="15" spans="1:15">
      <c r="A15" s="40" t="s">
        <v>22</v>
      </c>
      <c r="B15" s="41" t="s">
        <v>72</v>
      </c>
      <c r="C15" s="41" t="s">
        <v>11</v>
      </c>
      <c r="D15" s="41">
        <v>90</v>
      </c>
      <c r="E15" s="41">
        <v>100</v>
      </c>
      <c r="F15" s="42" t="str">
        <f t="shared" si="0"/>
        <v>A+</v>
      </c>
      <c r="H15" s="40" t="s">
        <v>7</v>
      </c>
      <c r="I15" s="42">
        <f>AVERAGEIF($C:$C, H15, $D:$D)</f>
        <v>57.4</v>
      </c>
    </row>
    <row r="16" spans="1:15">
      <c r="A16" s="40" t="s">
        <v>23</v>
      </c>
      <c r="B16" s="41" t="s">
        <v>73</v>
      </c>
      <c r="C16" s="41" t="s">
        <v>13</v>
      </c>
      <c r="D16" s="41">
        <v>55</v>
      </c>
      <c r="E16" s="41">
        <v>100</v>
      </c>
      <c r="F16" s="42" t="str">
        <f t="shared" si="0"/>
        <v>C+</v>
      </c>
      <c r="H16" s="43" t="s">
        <v>11</v>
      </c>
      <c r="I16" s="45">
        <f>AVERAGEIF($C:$C, H16, $D:$D)</f>
        <v>72</v>
      </c>
    </row>
    <row r="17" spans="1:6">
      <c r="A17" s="40" t="s">
        <v>24</v>
      </c>
      <c r="B17" s="41" t="s">
        <v>74</v>
      </c>
      <c r="C17" s="41" t="s">
        <v>5</v>
      </c>
      <c r="D17" s="41">
        <v>76</v>
      </c>
      <c r="E17" s="41">
        <v>100</v>
      </c>
      <c r="F17" s="42" t="str">
        <f t="shared" si="0"/>
        <v>B+</v>
      </c>
    </row>
    <row r="18" spans="1:6">
      <c r="A18" s="40" t="s">
        <v>25</v>
      </c>
      <c r="B18" s="41" t="s">
        <v>75</v>
      </c>
      <c r="C18" s="41" t="s">
        <v>7</v>
      </c>
      <c r="D18" s="41">
        <v>64</v>
      </c>
      <c r="E18" s="41">
        <v>100</v>
      </c>
      <c r="F18" s="42" t="str">
        <f t="shared" si="0"/>
        <v>B</v>
      </c>
    </row>
    <row r="19" spans="1:6">
      <c r="A19" s="40" t="s">
        <v>26</v>
      </c>
      <c r="B19" s="41" t="s">
        <v>76</v>
      </c>
      <c r="C19" s="41" t="s">
        <v>9</v>
      </c>
      <c r="D19" s="41">
        <v>65</v>
      </c>
      <c r="E19" s="41">
        <v>100</v>
      </c>
      <c r="F19" s="42" t="str">
        <f t="shared" si="0"/>
        <v>B</v>
      </c>
    </row>
    <row r="20" spans="1:6">
      <c r="A20" s="40" t="s">
        <v>27</v>
      </c>
      <c r="B20" s="41" t="s">
        <v>77</v>
      </c>
      <c r="C20" s="41" t="s">
        <v>11</v>
      </c>
      <c r="D20" s="41">
        <v>58</v>
      </c>
      <c r="E20" s="41">
        <v>100</v>
      </c>
      <c r="F20" s="42" t="str">
        <f t="shared" si="0"/>
        <v>C+</v>
      </c>
    </row>
    <row r="21" spans="1:6">
      <c r="A21" s="40" t="s">
        <v>28</v>
      </c>
      <c r="B21" s="41" t="s">
        <v>78</v>
      </c>
      <c r="C21" s="41" t="s">
        <v>13</v>
      </c>
      <c r="D21" s="41">
        <v>80</v>
      </c>
      <c r="E21" s="41">
        <v>100</v>
      </c>
      <c r="F21" s="42" t="str">
        <f t="shared" si="0"/>
        <v>A</v>
      </c>
    </row>
    <row r="22" spans="1:6">
      <c r="A22" s="40" t="s">
        <v>29</v>
      </c>
      <c r="B22" s="41" t="s">
        <v>79</v>
      </c>
      <c r="C22" s="41" t="s">
        <v>5</v>
      </c>
      <c r="D22" s="41">
        <v>30</v>
      </c>
      <c r="E22" s="41">
        <v>100</v>
      </c>
      <c r="F22" s="42" t="str">
        <f t="shared" si="0"/>
        <v>NG</v>
      </c>
    </row>
    <row r="23" spans="1:6">
      <c r="A23" s="40" t="s">
        <v>30</v>
      </c>
      <c r="B23" s="41" t="s">
        <v>80</v>
      </c>
      <c r="C23" s="41" t="s">
        <v>7</v>
      </c>
      <c r="D23" s="41">
        <v>76</v>
      </c>
      <c r="E23" s="41">
        <v>100</v>
      </c>
      <c r="F23" s="42" t="str">
        <f t="shared" si="0"/>
        <v>B+</v>
      </c>
    </row>
    <row r="24" spans="1:6">
      <c r="A24" s="40" t="s">
        <v>31</v>
      </c>
      <c r="B24" s="41" t="s">
        <v>81</v>
      </c>
      <c r="C24" s="41" t="s">
        <v>9</v>
      </c>
      <c r="D24" s="41">
        <v>58</v>
      </c>
      <c r="E24" s="41">
        <v>100</v>
      </c>
      <c r="F24" s="42" t="str">
        <f t="shared" si="0"/>
        <v>C+</v>
      </c>
    </row>
    <row r="25" spans="1:6">
      <c r="A25" s="40" t="s">
        <v>32</v>
      </c>
      <c r="B25" s="41" t="s">
        <v>82</v>
      </c>
      <c r="C25" s="41" t="s">
        <v>11</v>
      </c>
      <c r="D25" s="41">
        <v>58</v>
      </c>
      <c r="E25" s="41">
        <v>100</v>
      </c>
      <c r="F25" s="42" t="str">
        <f t="shared" si="0"/>
        <v>C+</v>
      </c>
    </row>
    <row r="26" spans="1:6">
      <c r="A26" s="40" t="s">
        <v>33</v>
      </c>
      <c r="B26" s="41" t="s">
        <v>83</v>
      </c>
      <c r="C26" s="41" t="s">
        <v>13</v>
      </c>
      <c r="D26" s="41">
        <v>79</v>
      </c>
      <c r="E26" s="41">
        <v>100</v>
      </c>
      <c r="F26" s="42" t="str">
        <f t="shared" si="0"/>
        <v>B+</v>
      </c>
    </row>
    <row r="27" spans="1:6">
      <c r="A27" s="40" t="s">
        <v>34</v>
      </c>
      <c r="B27" s="41" t="s">
        <v>84</v>
      </c>
      <c r="C27" s="41" t="s">
        <v>5</v>
      </c>
      <c r="D27" s="41">
        <v>86</v>
      </c>
      <c r="E27" s="41">
        <v>100</v>
      </c>
      <c r="F27" s="42" t="str">
        <f t="shared" si="0"/>
        <v>A</v>
      </c>
    </row>
    <row r="28" spans="1:6">
      <c r="A28" s="40" t="s">
        <v>35</v>
      </c>
      <c r="B28" s="41" t="s">
        <v>85</v>
      </c>
      <c r="C28" s="41" t="s">
        <v>7</v>
      </c>
      <c r="D28" s="41">
        <v>66</v>
      </c>
      <c r="E28" s="41">
        <v>100</v>
      </c>
      <c r="F28" s="42" t="str">
        <f t="shared" si="0"/>
        <v>B</v>
      </c>
    </row>
    <row r="29" spans="1:6">
      <c r="A29" s="40" t="s">
        <v>36</v>
      </c>
      <c r="B29" s="41" t="s">
        <v>86</v>
      </c>
      <c r="C29" s="41" t="s">
        <v>9</v>
      </c>
      <c r="D29" s="41">
        <v>4</v>
      </c>
      <c r="E29" s="41">
        <v>100</v>
      </c>
      <c r="F29" s="42" t="str">
        <f t="shared" si="0"/>
        <v>NG</v>
      </c>
    </row>
    <row r="30" spans="1:6">
      <c r="A30" s="40" t="s">
        <v>37</v>
      </c>
      <c r="B30" s="41" t="s">
        <v>87</v>
      </c>
      <c r="C30" s="41" t="s">
        <v>11</v>
      </c>
      <c r="D30" s="41">
        <v>83</v>
      </c>
      <c r="E30" s="41">
        <v>100</v>
      </c>
      <c r="F30" s="42" t="str">
        <f t="shared" si="0"/>
        <v>A</v>
      </c>
    </row>
    <row r="31" spans="1:6">
      <c r="A31" s="40" t="s">
        <v>38</v>
      </c>
      <c r="B31" s="41" t="s">
        <v>88</v>
      </c>
      <c r="C31" s="41" t="s">
        <v>13</v>
      </c>
      <c r="D31" s="41">
        <v>50</v>
      </c>
      <c r="E31" s="41">
        <v>100</v>
      </c>
      <c r="F31" s="42" t="str">
        <f t="shared" si="0"/>
        <v>C+</v>
      </c>
    </row>
    <row r="32" spans="1:6">
      <c r="A32" s="40" t="s">
        <v>39</v>
      </c>
      <c r="B32" s="41" t="s">
        <v>89</v>
      </c>
      <c r="C32" s="41" t="s">
        <v>5</v>
      </c>
      <c r="D32" s="41">
        <v>85</v>
      </c>
      <c r="E32" s="41">
        <v>100</v>
      </c>
      <c r="F32" s="42" t="str">
        <f t="shared" si="0"/>
        <v>A</v>
      </c>
    </row>
    <row r="33" spans="1:6">
      <c r="A33" s="40" t="s">
        <v>40</v>
      </c>
      <c r="B33" s="41" t="s">
        <v>90</v>
      </c>
      <c r="C33" s="41" t="s">
        <v>7</v>
      </c>
      <c r="D33" s="41">
        <v>84</v>
      </c>
      <c r="E33" s="41">
        <v>100</v>
      </c>
      <c r="F33" s="42" t="str">
        <f t="shared" si="0"/>
        <v>A</v>
      </c>
    </row>
    <row r="34" spans="1:6">
      <c r="A34" s="40" t="s">
        <v>41</v>
      </c>
      <c r="B34" s="41" t="s">
        <v>91</v>
      </c>
      <c r="C34" s="41" t="s">
        <v>9</v>
      </c>
      <c r="D34" s="41">
        <v>74</v>
      </c>
      <c r="E34" s="41">
        <v>100</v>
      </c>
      <c r="F34" s="42" t="str">
        <f t="shared" si="0"/>
        <v>B+</v>
      </c>
    </row>
    <row r="35" spans="1:6">
      <c r="A35" s="40" t="s">
        <v>42</v>
      </c>
      <c r="B35" s="41" t="s">
        <v>92</v>
      </c>
      <c r="C35" s="41" t="s">
        <v>11</v>
      </c>
      <c r="D35" s="41">
        <v>77</v>
      </c>
      <c r="E35" s="41">
        <v>100</v>
      </c>
      <c r="F35" s="42" t="str">
        <f t="shared" si="0"/>
        <v>B+</v>
      </c>
    </row>
    <row r="36" spans="1:6">
      <c r="A36" s="40" t="s">
        <v>43</v>
      </c>
      <c r="B36" s="41" t="s">
        <v>93</v>
      </c>
      <c r="C36" s="41" t="s">
        <v>13</v>
      </c>
      <c r="D36" s="41">
        <v>53</v>
      </c>
      <c r="E36" s="41">
        <v>100</v>
      </c>
      <c r="F36" s="42" t="str">
        <f t="shared" si="0"/>
        <v>C+</v>
      </c>
    </row>
    <row r="37" spans="1:6">
      <c r="A37" s="40" t="s">
        <v>44</v>
      </c>
      <c r="B37" s="41" t="s">
        <v>94</v>
      </c>
      <c r="C37" s="41" t="s">
        <v>5</v>
      </c>
      <c r="D37" s="41">
        <v>67</v>
      </c>
      <c r="E37" s="41">
        <v>100</v>
      </c>
      <c r="F37" s="42" t="str">
        <f t="shared" si="0"/>
        <v>B</v>
      </c>
    </row>
    <row r="38" spans="1:6">
      <c r="A38" s="40" t="s">
        <v>45</v>
      </c>
      <c r="B38" s="41" t="s">
        <v>95</v>
      </c>
      <c r="C38" s="41" t="s">
        <v>7</v>
      </c>
      <c r="D38" s="41">
        <v>35</v>
      </c>
      <c r="E38" s="41">
        <v>100</v>
      </c>
      <c r="F38" s="42" t="str">
        <f t="shared" si="0"/>
        <v>D</v>
      </c>
    </row>
    <row r="39" spans="1:6">
      <c r="A39" s="40" t="s">
        <v>46</v>
      </c>
      <c r="B39" s="41" t="s">
        <v>96</v>
      </c>
      <c r="C39" s="41" t="s">
        <v>9</v>
      </c>
      <c r="D39" s="41">
        <v>75</v>
      </c>
      <c r="E39" s="41">
        <v>100</v>
      </c>
      <c r="F39" s="42" t="str">
        <f t="shared" si="0"/>
        <v>B+</v>
      </c>
    </row>
    <row r="40" spans="1:6">
      <c r="A40" s="40" t="s">
        <v>47</v>
      </c>
      <c r="B40" s="41" t="s">
        <v>97</v>
      </c>
      <c r="C40" s="41" t="s">
        <v>11</v>
      </c>
      <c r="D40" s="41">
        <v>59</v>
      </c>
      <c r="E40" s="41">
        <v>100</v>
      </c>
      <c r="F40" s="42" t="str">
        <f t="shared" si="0"/>
        <v>C+</v>
      </c>
    </row>
    <row r="41" spans="1:6">
      <c r="A41" s="40" t="s">
        <v>48</v>
      </c>
      <c r="B41" s="41" t="s">
        <v>98</v>
      </c>
      <c r="C41" s="41" t="s">
        <v>13</v>
      </c>
      <c r="D41" s="41">
        <v>64</v>
      </c>
      <c r="E41" s="41">
        <v>100</v>
      </c>
      <c r="F41" s="42" t="str">
        <f t="shared" si="0"/>
        <v>B</v>
      </c>
    </row>
    <row r="42" spans="1:6">
      <c r="A42" s="40" t="s">
        <v>49</v>
      </c>
      <c r="B42" s="41" t="s">
        <v>99</v>
      </c>
      <c r="C42" s="41" t="s">
        <v>5</v>
      </c>
      <c r="D42" s="41">
        <v>60</v>
      </c>
      <c r="E42" s="41">
        <v>100</v>
      </c>
      <c r="F42" s="42" t="str">
        <f t="shared" si="0"/>
        <v>B</v>
      </c>
    </row>
    <row r="43" spans="1:6">
      <c r="A43" s="40" t="s">
        <v>50</v>
      </c>
      <c r="B43" s="41" t="s">
        <v>100</v>
      </c>
      <c r="C43" s="41" t="s">
        <v>7</v>
      </c>
      <c r="D43" s="41">
        <v>64</v>
      </c>
      <c r="E43" s="41">
        <v>100</v>
      </c>
      <c r="F43" s="42" t="str">
        <f t="shared" si="0"/>
        <v>B</v>
      </c>
    </row>
    <row r="44" spans="1:6">
      <c r="A44" s="40" t="s">
        <v>51</v>
      </c>
      <c r="B44" s="41" t="s">
        <v>101</v>
      </c>
      <c r="C44" s="41" t="s">
        <v>9</v>
      </c>
      <c r="D44" s="41">
        <v>58</v>
      </c>
      <c r="E44" s="41">
        <v>100</v>
      </c>
      <c r="F44" s="42" t="str">
        <f t="shared" si="0"/>
        <v>C+</v>
      </c>
    </row>
    <row r="45" spans="1:6">
      <c r="A45" s="40" t="s">
        <v>52</v>
      </c>
      <c r="B45" s="41" t="s">
        <v>102</v>
      </c>
      <c r="C45" s="41" t="s">
        <v>11</v>
      </c>
      <c r="D45" s="41">
        <v>86</v>
      </c>
      <c r="E45" s="41">
        <v>100</v>
      </c>
      <c r="F45" s="42" t="str">
        <f t="shared" si="0"/>
        <v>A</v>
      </c>
    </row>
    <row r="46" spans="1:6">
      <c r="A46" s="40" t="s">
        <v>53</v>
      </c>
      <c r="B46" s="41" t="s">
        <v>103</v>
      </c>
      <c r="C46" s="41" t="s">
        <v>13</v>
      </c>
      <c r="D46" s="41">
        <v>78</v>
      </c>
      <c r="E46" s="41">
        <v>100</v>
      </c>
      <c r="F46" s="42" t="str">
        <f t="shared" si="0"/>
        <v>B+</v>
      </c>
    </row>
    <row r="47" spans="1:6">
      <c r="A47" s="40" t="s">
        <v>54</v>
      </c>
      <c r="B47" s="41" t="s">
        <v>104</v>
      </c>
      <c r="C47" s="41" t="s">
        <v>5</v>
      </c>
      <c r="D47" s="41">
        <v>73</v>
      </c>
      <c r="E47" s="41">
        <v>100</v>
      </c>
      <c r="F47" s="42" t="str">
        <f t="shared" si="0"/>
        <v>B+</v>
      </c>
    </row>
    <row r="48" spans="1:6">
      <c r="A48" s="40" t="s">
        <v>55</v>
      </c>
      <c r="B48" s="41" t="s">
        <v>105</v>
      </c>
      <c r="C48" s="41" t="s">
        <v>7</v>
      </c>
      <c r="D48" s="41">
        <v>10</v>
      </c>
      <c r="E48" s="41">
        <v>100</v>
      </c>
      <c r="F48" s="42" t="str">
        <f t="shared" si="0"/>
        <v>NG</v>
      </c>
    </row>
    <row r="49" spans="1:6">
      <c r="A49" s="40" t="s">
        <v>56</v>
      </c>
      <c r="B49" s="41" t="s">
        <v>106</v>
      </c>
      <c r="C49" s="41" t="s">
        <v>9</v>
      </c>
      <c r="D49" s="41">
        <v>81</v>
      </c>
      <c r="E49" s="41">
        <v>100</v>
      </c>
      <c r="F49" s="42" t="str">
        <f t="shared" si="0"/>
        <v>A</v>
      </c>
    </row>
    <row r="50" spans="1:6">
      <c r="A50" s="40" t="s">
        <v>57</v>
      </c>
      <c r="B50" s="41" t="s">
        <v>107</v>
      </c>
      <c r="C50" s="41" t="s">
        <v>11</v>
      </c>
      <c r="D50" s="41">
        <v>70</v>
      </c>
      <c r="E50" s="41">
        <v>100</v>
      </c>
      <c r="F50" s="42" t="str">
        <f t="shared" si="0"/>
        <v>B+</v>
      </c>
    </row>
    <row r="51" spans="1:6">
      <c r="A51" s="43" t="s">
        <v>58</v>
      </c>
      <c r="B51" s="44" t="s">
        <v>108</v>
      </c>
      <c r="C51" s="44" t="s">
        <v>13</v>
      </c>
      <c r="D51" s="44">
        <v>76</v>
      </c>
      <c r="E51" s="44">
        <v>100</v>
      </c>
      <c r="F51" s="45" t="str">
        <f t="shared" si="0"/>
        <v>B+</v>
      </c>
    </row>
  </sheetData>
  <sortState ref="H12:H16">
    <sortCondition ref="H2"/>
  </sortState>
  <mergeCells count="1">
    <mergeCell ref="H10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Overview</vt:lpstr>
      <vt:lpstr>Dashboard</vt:lpstr>
      <vt:lpstr>Grade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 Acharya</dc:creator>
  <cp:lastModifiedBy>Anam Acharya</cp:lastModifiedBy>
  <dcterms:created xsi:type="dcterms:W3CDTF">2025-11-09T10:57:36Z</dcterms:created>
  <dcterms:modified xsi:type="dcterms:W3CDTF">2025-11-09T16:40:40Z</dcterms:modified>
</cp:coreProperties>
</file>